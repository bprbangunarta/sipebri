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ireksi\My Documents\Credit collecting\Kredit PMI\LPK Amaterasu\Berkas Seleksi Calon Siswa\"/>
    </mc:Choice>
  </mc:AlternateContent>
  <xr:revisionPtr revIDLastSave="0" documentId="13_ncr:1_{70FA31CD-AA71-4F49-B0FA-66BC4075FD0A}" xr6:coauthVersionLast="47" xr6:coauthVersionMax="47" xr10:uidLastSave="{00000000-0000-0000-0000-000000000000}"/>
  <bookViews>
    <workbookView xWindow="-98" yWindow="-98" windowWidth="21795" windowHeight="13695" activeTab="1" xr2:uid="{00000000-000D-0000-FFFF-FFFF00000000}"/>
  </bookViews>
  <sheets>
    <sheet name="Ringkasan" sheetId="1" r:id="rId1"/>
    <sheet name="Scoring Kredit" sheetId="2" r:id="rId2"/>
    <sheet name="RC Keluarga" sheetId="3" r:id="rId3"/>
  </sheets>
  <definedNames>
    <definedName name="_xlnm.Print_Area" localSheetId="2">'RC Keluarga'!$B$2:$E$31</definedName>
    <definedName name="_xlnm.Print_Area" localSheetId="0">Ringkasan!$B$2:$E$36</definedName>
    <definedName name="_xlnm.Print_Area" localSheetId="1">'Scoring Kredit'!$B$2:$I$36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4" i="3" l="1"/>
  <c r="C13" i="3"/>
  <c r="C15" i="3" s="1"/>
  <c r="E19" i="2" s="1"/>
  <c r="C12" i="3"/>
  <c r="C11" i="3"/>
  <c r="D29" i="2"/>
  <c r="I28" i="2"/>
  <c r="G28" i="2"/>
  <c r="I27" i="2"/>
  <c r="G27" i="2"/>
  <c r="I26" i="2"/>
  <c r="E26" i="2"/>
  <c r="G26" i="2" s="1"/>
  <c r="I25" i="2"/>
  <c r="G25" i="2"/>
  <c r="E24" i="2"/>
  <c r="G24" i="2" s="1"/>
  <c r="I23" i="2"/>
  <c r="G23" i="2"/>
  <c r="I22" i="2"/>
  <c r="E22" i="2"/>
  <c r="G22" i="2" s="1"/>
  <c r="E21" i="2"/>
  <c r="I21" i="2" s="1"/>
  <c r="C28" i="1" s="1"/>
  <c r="I20" i="2"/>
  <c r="G20" i="2"/>
  <c r="E18" i="2"/>
  <c r="I18" i="2" s="1"/>
  <c r="C26" i="1" s="1"/>
  <c r="E17" i="2"/>
  <c r="I17" i="2" s="1"/>
  <c r="C25" i="1" s="1"/>
  <c r="E16" i="2"/>
  <c r="I16" i="2" s="1"/>
  <c r="C24" i="1" s="1"/>
  <c r="E15" i="2"/>
  <c r="I15" i="2" s="1"/>
  <c r="I14" i="2"/>
  <c r="G14" i="2"/>
  <c r="I13" i="2"/>
  <c r="G13" i="2"/>
  <c r="I12" i="2"/>
  <c r="G12" i="2"/>
  <c r="I11" i="2"/>
  <c r="G11" i="2"/>
  <c r="I10" i="2"/>
  <c r="G10" i="2"/>
  <c r="I9" i="2"/>
  <c r="G9" i="2"/>
  <c r="I8" i="2"/>
  <c r="G8" i="2"/>
  <c r="I7" i="2"/>
  <c r="G7" i="2"/>
  <c r="I6" i="2"/>
  <c r="G6" i="2"/>
  <c r="I24" i="2" l="1"/>
  <c r="C29" i="1" s="1"/>
  <c r="C16" i="3"/>
  <c r="C10" i="1"/>
  <c r="C23" i="1"/>
  <c r="G19" i="2"/>
  <c r="I19" i="2"/>
  <c r="C27" i="1" s="1"/>
  <c r="G18" i="2"/>
  <c r="G15" i="2"/>
  <c r="G16" i="2"/>
  <c r="G21" i="2"/>
  <c r="G17" i="2"/>
  <c r="C11" i="1" l="1"/>
  <c r="G29" i="2"/>
  <c r="C9" i="1" s="1"/>
</calcChain>
</file>

<file path=xl/sharedStrings.xml><?xml version="1.0" encoding="utf-8"?>
<sst xmlns="http://schemas.openxmlformats.org/spreadsheetml/2006/main" count="225" uniqueCount="148">
  <si>
    <t>SCORING ANALISA KREDIT PENDIDIKAN</t>
  </si>
  <si>
    <t>Calon siswa: Paridudin | Amaterasu Japanese School</t>
  </si>
  <si>
    <t>HASIL UTAMA</t>
  </si>
  <si>
    <t>Parameter</t>
  </si>
  <si>
    <t>Hasil</t>
  </si>
  <si>
    <t>Skor kelayakan calon siswa (Lendana)</t>
  </si>
  <si>
    <t>Skor kredit berbasis RC keluarga</t>
  </si>
  <si>
    <t>Critical gate belum terpenuhi</t>
  </si>
  <si>
    <t>Rekomendasi</t>
  </si>
  <si>
    <t>KESIMPULAN ANALISA</t>
  </si>
  <si>
    <t>Skor 97,4 dari Lendana menunjukkan kelayakan calon siswa, bukan kemampuan membayar kredit. Data yang tersedia belum membuktikan penghasilan, pengeluaran, kewajiban dan kemampuan bayar ibu/kakak. Karena itu keputusan tetap tertahan sampai seluruh critical gate repayment capacity dipenuhi.</t>
  </si>
  <si>
    <t>Pihak keluarga yang membayar harus ditetapkan dan diikat sebagai Debitur Bersama yang bertanggung renteng. Rencana bekerja di Jepang, refinancing, asuransi, saldo ditahan dan dukungan LPK hanya merupakan mitigasi atau sumber pembayaran alternatif.</t>
  </si>
  <si>
    <t>Isi sel berwarna kuning pada sheet RC Keluarga. Skor dan rekomendasi akan berubah otomatis.</t>
  </si>
  <si>
    <t>CRITICAL GATE</t>
  </si>
  <si>
    <t>Syarat</t>
  </si>
  <si>
    <t>Status</t>
  </si>
  <si>
    <t>Sumber</t>
  </si>
  <si>
    <t>Tindakan</t>
  </si>
  <si>
    <t>Pihak pembayar primer teridentifikasi</t>
  </si>
  <si>
    <t>RC Keluarga</t>
  </si>
  <si>
    <t>Tentukan ibu/kakak/pihak lain</t>
  </si>
  <si>
    <t>Penghasilan bersih terverifikasi</t>
  </si>
  <si>
    <t>Lengkapi bukti 6–12 bulan</t>
  </si>
  <si>
    <t>Pengeluaran dan utang terverifikasi</t>
  </si>
  <si>
    <t>Lengkapi SLIK dan deklarasi utang</t>
  </si>
  <si>
    <t>DSR memenuhi kebijakan</t>
  </si>
  <si>
    <t>Hitung setelah angka lengkap</t>
  </si>
  <si>
    <t>Stress test tetap positif</t>
  </si>
  <si>
    <t>Uji penurunan penghasilan 30%</t>
  </si>
  <si>
    <t>Pemahaman program/dana talang</t>
  </si>
  <si>
    <t>Edukasi ulang dan konfirmasi</t>
  </si>
  <si>
    <t>Debitur Bersama telah setuju</t>
  </si>
  <si>
    <t>Tanda tangan akad tanggung renteng</t>
  </si>
  <si>
    <t>Catatan keputusan</t>
  </si>
  <si>
    <t>SCORING KREDIT BERBASIS REPAYMENT CAPACITY KELUARGA</t>
  </si>
  <si>
    <t>Skala 0–5. Nilai 0 berarti data wajib belum tersedia. Nilai minimum critical gate adalah 3.</t>
  </si>
  <si>
    <t>Kelompok</t>
  </si>
  <si>
    <t>Kriteria</t>
  </si>
  <si>
    <t>Bobot</t>
  </si>
  <si>
    <t>Nilai 0–5</t>
  </si>
  <si>
    <t>Dasar penilaian</t>
  </si>
  <si>
    <t>Skor tertimbang</t>
  </si>
  <si>
    <t>Critical gate</t>
  </si>
  <si>
    <t>Status gate</t>
  </si>
  <si>
    <t>Character &amp; SLIK</t>
  </si>
  <si>
    <t>Konsistensi identitas dan alamat</t>
  </si>
  <si>
    <t>Identitas cocok; domisili interview Bekasi, alamat SLIK Sukabumi</t>
  </si>
  <si>
    <t>Tidak</t>
  </si>
  <si>
    <t>Riwayat pembayaran/SLIK siswa</t>
  </si>
  <si>
    <t>1 fasilitas BNPL Rp120 ribu, saldo dan tunggakan Rp0</t>
  </si>
  <si>
    <t>Keterbukaan informasi dan pemahaman awal</t>
  </si>
  <si>
    <t>Catatan izin keluarga dan pemahaman dana talang belum konsisten</t>
  </si>
  <si>
    <t>Dukungan keluarga yang telah dikonfirmasi</t>
  </si>
  <si>
    <t>Ibu belum dikonfirmasi; kakak disebut masih ragu</t>
  </si>
  <si>
    <t>Kesiapan siswa</t>
  </si>
  <si>
    <t>Hasil interview</t>
  </si>
  <si>
    <t>Skor 31 dibanding standar 27; disarankan</t>
  </si>
  <si>
    <t>Motivasi dan komitmen</t>
  </si>
  <si>
    <t>Motivasi kuat; keyakinan 95%</t>
  </si>
  <si>
    <t>Kemampuan kognitif dan belajar</t>
  </si>
  <si>
    <t>IQ 96; kapasitas rata-rata; perlu pembinaan</t>
  </si>
  <si>
    <t>Disiplin, ketekunan dan daya tahan</t>
  </si>
  <si>
    <t>Mudah menyerah, disiplin/tanggung jawab dan stamina rendah</t>
  </si>
  <si>
    <t>Kesehatan untuk bekerja</t>
  </si>
  <si>
    <t>Fit; underweight, anemia ringan dan perawatan gigi perlu tindak lanjut</t>
  </si>
  <si>
    <t>RC keluarga</t>
  </si>
  <si>
    <t>Diambil dari RC Keluarga</t>
  </si>
  <si>
    <t>Ya</t>
  </si>
  <si>
    <t>Pengeluaran dan seluruh utang terverifikasi</t>
  </si>
  <si>
    <t>DSR setelah kredit</t>
  </si>
  <si>
    <t>Otomatis dari angka RC</t>
  </si>
  <si>
    <t>Residual income pada stress test</t>
  </si>
  <si>
    <t>Otomatis: penghasilan -30%, biaya hidup +10%</t>
  </si>
  <si>
    <t>Program &amp; LPK</t>
  </si>
  <si>
    <t>Kualitas/rekam jejak LPK</t>
  </si>
  <si>
    <t>Scoring Lendana memberi nilai LPK 25/25</t>
  </si>
  <si>
    <t>Pemahaman program dan dana talang</t>
  </si>
  <si>
    <t>Milestone pencairan dan refund</t>
  </si>
  <si>
    <t>Kejelasan penempatan/refinancing</t>
  </si>
  <si>
    <t>Belum ada bukti final dalam berkas kandidat</t>
  </si>
  <si>
    <t>Struktur &amp; mitigasi</t>
  </si>
  <si>
    <t>Debitur Bersama/tanggung renteng</t>
  </si>
  <si>
    <t>Agunan, asuransi atau dana darurat</t>
  </si>
  <si>
    <t>Belum tersedia dalam berkas kandidat</t>
  </si>
  <si>
    <t>Pencairan bertahap</t>
  </si>
  <si>
    <t>Monitoring kemajuan siswa</t>
  </si>
  <si>
    <t>Rekomendasi mentoring tersedia; mekanisme belum final</t>
  </si>
  <si>
    <t>Kelengkapan dokumen kredit</t>
  </si>
  <si>
    <t>Dokumen siswa tersedia; dokumen keluarga belum tersedia</t>
  </si>
  <si>
    <t>TOTAL</t>
  </si>
  <si>
    <t>INTERPRETASI SKOR</t>
  </si>
  <si>
    <t>80–100</t>
  </si>
  <si>
    <t>Layak direkomendasikan jika seluruh critical gate PASS</t>
  </si>
  <si>
    <t>70–79,9</t>
  </si>
  <si>
    <t>Dipertimbangkan Komite Kredit jika seluruh critical gate PASS</t>
  </si>
  <si>
    <t>&lt;70</t>
  </si>
  <si>
    <t>Tidak direkomendasikan</t>
  </si>
  <si>
    <t>Critical gate FAIL</t>
  </si>
  <si>
    <t>Keputusan wajib TUNDA, berapa pun total skor</t>
  </si>
  <si>
    <t>REPAYMENT CAPACITY ORANG TUA / KELUARGA</t>
  </si>
  <si>
    <t>Isi sel kuning dengan angka bulanan yang telah diverifikasi. Jangan memasukkan proyeksi gaji Jepang sebagai penghasilan saat ini.</t>
  </si>
  <si>
    <t>PERHITUNGAN KEMAMPUAN BAYAR</t>
  </si>
  <si>
    <t>Komponen</t>
  </si>
  <si>
    <t>Nilai per bulan</t>
  </si>
  <si>
    <t>Bukti/verifikasi</t>
  </si>
  <si>
    <t>Keterangan</t>
  </si>
  <si>
    <t>Belum tersedia</t>
  </si>
  <si>
    <t>Rata-rata konservatif 6–12 bulan / satu siklus usaha tani</t>
  </si>
  <si>
    <t>Biaya hidup rumah tangga</t>
  </si>
  <si>
    <t>Termasuk tanggungan dan kebutuhan dasar</t>
  </si>
  <si>
    <t>Angsuran kredit berjalan</t>
  </si>
  <si>
    <t>Cocokkan dengan SLIK dan deklarasi utang</t>
  </si>
  <si>
    <t>Angsuran kredit pendidikan usulan</t>
  </si>
  <si>
    <t>Belum ditetapkan</t>
  </si>
  <si>
    <t>Sesuai plafon, bunga dan tenor final</t>
  </si>
  <si>
    <t>Otomatis</t>
  </si>
  <si>
    <t>(Angsuran berjalan + angsuran usulan) / penghasilan</t>
  </si>
  <si>
    <t>Residual income</t>
  </si>
  <si>
    <t>Penghasilan - biaya hidup - seluruh angsuran</t>
  </si>
  <si>
    <t>Penghasilan stress test (-30%)</t>
  </si>
  <si>
    <t>Skenario konservatif</t>
  </si>
  <si>
    <t>Biaya hidup stress test (+10%)</t>
  </si>
  <si>
    <t>Residual income stress test</t>
  </si>
  <si>
    <t>Harus tetap positif</t>
  </si>
  <si>
    <t>DSR stress test</t>
  </si>
  <si>
    <t>Untuk pertimbangan tambahan</t>
  </si>
  <si>
    <t>CRITICAL GATE DAN DOKUMEN</t>
  </si>
  <si>
    <t>Pihak pembayar primer telah ditetapkan</t>
  </si>
  <si>
    <t>Nama dan hubungan: [diisi]</t>
  </si>
  <si>
    <t>Bukti penghasilan telah diverifikasi</t>
  </si>
  <si>
    <t>Slip gaji/rekening koran/catatan usaha</t>
  </si>
  <si>
    <t>Pengeluaran dan seluruh utang telah diverifikasi</t>
  </si>
  <si>
    <t>SLIK, deklarasi utang, biaya hidup</t>
  </si>
  <si>
    <t>Debitur Bersama bersedia tanggung renteng</t>
  </si>
  <si>
    <t>Akad dan persetujuan pasangan bila relevan</t>
  </si>
  <si>
    <t>Orang tua/siswa memahami program dan dana talang</t>
  </si>
  <si>
    <t>Edukasi ulang dan konfirmasi tertulis</t>
  </si>
  <si>
    <t>Perjanjian dengan LPK/mitra</t>
  </si>
  <si>
    <t>Pencairan bertahap telah disetujui</t>
  </si>
  <si>
    <t>PANDUAN PENILAIAN</t>
  </si>
  <si>
    <t>DSR</t>
  </si>
  <si>
    <t>5: ≤35% | 4: &gt;35–40% | 3: &gt;40–45% | 2: &gt;45–50% | 1: &gt;50%</t>
  </si>
  <si>
    <t>Stress test</t>
  </si>
  <si>
    <t>5: residual ≥20% penghasilan stress | 4: ≥10% | 3: positif &lt;10% | 1: negatif</t>
  </si>
  <si>
    <t>Ketentuan</t>
  </si>
  <si>
    <t>Batas DSR final mengikuti kebijakan internal BPR. Critical gate minimal bernilai 3.</t>
  </si>
  <si>
    <t>Tahapan pencairan dan refund telah disepakati</t>
  </si>
  <si>
    <t>Jadwal tahapan pencairan dan kontrol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</si>
</sst>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R\p\ #,##0;[Red]\(\R\p\ #,##0\);\-"/>
    <numFmt numFmtId="166" formatCode="0.0%"/>
  </numFmts>
  <fonts count="10">
    <font>
      <sz val="11"/>
      <name val="Carlito"/>
    </font>
    <font>
      <sz val="10"/>
      <color rgb="FF222222"/>
      <name val="Arial"/>
    </font>
    <font>
      <b/>
      <sz val="15"/>
      <color rgb="FF17365D"/>
      <name val="Arial"/>
    </font>
    <font>
      <i/>
      <sz val="10"/>
      <color rgb="FF666666"/>
      <name val="Arial"/>
    </font>
    <font>
      <b/>
      <sz val="10"/>
      <color rgb="FFFFFFFF"/>
      <name val="Arial"/>
    </font>
    <font>
      <b/>
      <sz val="10"/>
      <color rgb="FF17365D"/>
      <name val="Arial"/>
    </font>
    <font>
      <sz val="10"/>
      <color rgb="FF0070C0"/>
      <name val="Arial"/>
    </font>
    <font>
      <sz val="10"/>
      <color rgb="FF008000"/>
      <name val="Arial"/>
    </font>
    <font>
      <b/>
      <sz val="10"/>
      <color rgb="FF0070C0"/>
      <name val="Arial"/>
    </font>
    <font>
      <b/>
      <sz val="10"/>
      <color rgb="FFFFFF00"/>
      <name val="Arial"/>
      <family val="2"/>
    </font>
  </fonts>
  <fills count="6">
    <fill>
      <patternFill patternType="none"/>
    </fill>
    <fill>
      <patternFill patternType="gray125"/>
    </fill>
    <fill>
      <patternFill patternType="solid">
        <fgColor rgb="FF17365D"/>
      </patternFill>
    </fill>
    <fill>
      <patternFill patternType="solid">
        <fgColor rgb="FF1F4E78"/>
      </patternFill>
    </fill>
    <fill>
      <patternFill patternType="solid">
        <fgColor rgb="FFF7F9FC"/>
      </patternFill>
    </fill>
    <fill>
      <patternFill patternType="solid">
        <fgColor rgb="FFFFF2CC"/>
      </patternFill>
    </fill>
  </fills>
  <borders count="17">
    <border>
      <left/>
      <right/>
      <top/>
      <bottom/>
      <diagonal/>
    </border>
    <border>
      <left/>
      <right/>
      <top/>
      <bottom style="medium">
        <color rgb="FF17365D"/>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
      <left style="thin">
        <color rgb="FFD9E2F3"/>
      </left>
      <right style="thin">
        <color rgb="FFD9E2F3"/>
      </right>
      <top style="thin">
        <color rgb="FFD9E2F3"/>
      </top>
      <bottom style="thin">
        <color rgb="FFD9E2F3"/>
      </bottom>
      <diagonal/>
    </border>
    <border>
      <left style="thin">
        <color rgb="FFD9E2F3"/>
      </left>
      <right/>
      <top/>
      <bottom/>
      <diagonal/>
    </border>
    <border>
      <left style="thin">
        <color rgb="FFD9E2F3"/>
      </left>
      <right/>
      <top/>
      <bottom style="thin">
        <color rgb="FFD9E2F3"/>
      </bottom>
      <diagonal/>
    </border>
    <border>
      <left/>
      <right/>
      <top/>
      <bottom style="thin">
        <color rgb="FFD9E2F3"/>
      </bottom>
      <diagonal/>
    </border>
    <border>
      <left style="thin">
        <color rgb="FFD9E2F3"/>
      </left>
      <right/>
      <top style="thin">
        <color rgb="FF17365D"/>
      </top>
      <bottom style="thin">
        <color rgb="FFD9E2F3"/>
      </bottom>
      <diagonal/>
    </border>
    <border>
      <left/>
      <right style="thin">
        <color rgb="FFD9E2F3"/>
      </right>
      <top style="thin">
        <color rgb="FF17365D"/>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right/>
      <top style="thin">
        <color rgb="FF17365D"/>
      </top>
      <bottom style="thin">
        <color rgb="FFD9E2F3"/>
      </bottom>
      <diagonal/>
    </border>
    <border>
      <left/>
      <right/>
      <top style="thin">
        <color rgb="FFD9E2F3"/>
      </top>
      <bottom style="thin">
        <color rgb="FFD9E2F3"/>
      </bottom>
      <diagonal/>
    </border>
    <border>
      <left style="thin">
        <color rgb="FFD9E2F3"/>
      </left>
      <right/>
      <top style="thin">
        <color rgb="FF17365D"/>
      </top>
      <bottom/>
      <diagonal/>
    </border>
    <border>
      <left/>
      <right/>
      <top style="thin">
        <color rgb="FF17365D"/>
      </top>
      <bottom/>
      <diagonal/>
    </border>
  </borders>
  <cellStyleXfs count="1">
    <xf numFmtId="0" fontId="0" fillId="0" borderId="0"/>
  </cellStyleXfs>
  <cellXfs count="52">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1" fillId="0" borderId="1" xfId="0" applyNumberFormat="1" applyFont="1" applyFill="1" applyBorder="1"/>
    <xf numFmtId="0" fontId="4" fillId="2" borderId="2" xfId="0" applyNumberFormat="1" applyFont="1" applyFill="1" applyBorder="1"/>
    <xf numFmtId="0" fontId="4" fillId="2" borderId="3" xfId="0" applyNumberFormat="1" applyFont="1" applyFill="1" applyBorder="1"/>
    <xf numFmtId="0" fontId="4" fillId="2" borderId="4" xfId="0" applyNumberFormat="1" applyFont="1" applyFill="1" applyBorder="1"/>
    <xf numFmtId="0" fontId="5" fillId="0" borderId="0" xfId="0" applyNumberFormat="1" applyFont="1" applyFill="1" applyBorder="1"/>
    <xf numFmtId="0" fontId="4" fillId="3" borderId="5" xfId="0" applyNumberFormat="1" applyFont="1" applyFill="1" applyBorder="1" applyAlignment="1">
      <alignment horizontal="center" vertical="center" wrapText="1"/>
    </xf>
    <xf numFmtId="0" fontId="1" fillId="0" borderId="5" xfId="0" applyNumberFormat="1" applyFont="1" applyFill="1" applyBorder="1" applyAlignment="1">
      <alignment vertical="center"/>
    </xf>
    <xf numFmtId="0" fontId="1" fillId="4" borderId="7" xfId="0" applyNumberFormat="1" applyFont="1" applyFill="1" applyBorder="1" applyAlignment="1">
      <alignment wrapText="1"/>
    </xf>
    <xf numFmtId="0" fontId="1" fillId="4" borderId="8" xfId="0" applyNumberFormat="1" applyFont="1" applyFill="1" applyBorder="1" applyAlignment="1">
      <alignment wrapText="1"/>
    </xf>
    <xf numFmtId="0" fontId="1" fillId="0" borderId="5" xfId="0" applyNumberFormat="1" applyFont="1" applyFill="1" applyBorder="1" applyAlignment="1">
      <alignment vertical="center" wrapText="1"/>
    </xf>
    <xf numFmtId="0" fontId="1" fillId="0" borderId="5" xfId="0" applyNumberFormat="1" applyFont="1" applyFill="1" applyBorder="1" applyAlignment="1">
      <alignment vertical="top" wrapText="1"/>
    </xf>
    <xf numFmtId="1" fontId="1" fillId="0" borderId="5" xfId="0" applyNumberFormat="1" applyFont="1" applyFill="1" applyBorder="1" applyAlignment="1">
      <alignment vertical="top" wrapText="1"/>
    </xf>
    <xf numFmtId="1" fontId="6" fillId="5" borderId="5" xfId="0" applyNumberFormat="1" applyFont="1" applyFill="1" applyBorder="1" applyAlignment="1">
      <alignment vertical="top" wrapText="1"/>
    </xf>
    <xf numFmtId="164" fontId="7" fillId="0" borderId="5" xfId="0" applyNumberFormat="1" applyFont="1" applyFill="1" applyBorder="1" applyAlignment="1">
      <alignment vertical="top" wrapText="1"/>
    </xf>
    <xf numFmtId="0" fontId="7" fillId="0" borderId="5" xfId="0" applyNumberFormat="1" applyFont="1" applyFill="1" applyBorder="1" applyAlignment="1">
      <alignment vertical="top" wrapText="1"/>
    </xf>
    <xf numFmtId="1" fontId="7" fillId="0" borderId="5" xfId="0" applyNumberFormat="1" applyFont="1" applyFill="1" applyBorder="1" applyAlignment="1">
      <alignment vertical="top" wrapText="1"/>
    </xf>
    <xf numFmtId="0" fontId="4" fillId="2" borderId="5" xfId="0" applyNumberFormat="1" applyFont="1" applyFill="1" applyBorder="1" applyAlignment="1">
      <alignment vertical="top"/>
    </xf>
    <xf numFmtId="1" fontId="4" fillId="2" borderId="5" xfId="0" applyNumberFormat="1" applyFont="1" applyFill="1" applyBorder="1" applyAlignment="1">
      <alignment vertical="top"/>
    </xf>
    <xf numFmtId="0" fontId="1" fillId="0" borderId="0" xfId="0" applyNumberFormat="1" applyFont="1" applyFill="1" applyBorder="1" applyAlignment="1">
      <alignment vertical="top"/>
    </xf>
    <xf numFmtId="0" fontId="4" fillId="2" borderId="2" xfId="0" applyNumberFormat="1" applyFont="1" applyFill="1" applyBorder="1" applyAlignment="1">
      <alignment vertical="top"/>
    </xf>
    <xf numFmtId="0" fontId="4" fillId="2" borderId="3" xfId="0" applyNumberFormat="1" applyFont="1" applyFill="1" applyBorder="1" applyAlignment="1">
      <alignment vertical="top"/>
    </xf>
    <xf numFmtId="0" fontId="4" fillId="2" borderId="4" xfId="0" applyNumberFormat="1" applyFont="1" applyFill="1" applyBorder="1" applyAlignment="1">
      <alignment vertical="top"/>
    </xf>
    <xf numFmtId="165" fontId="6" fillId="5" borderId="5" xfId="0" applyNumberFormat="1" applyFont="1" applyFill="1" applyBorder="1" applyAlignment="1">
      <alignment vertical="top" wrapText="1"/>
    </xf>
    <xf numFmtId="166" fontId="7" fillId="0" borderId="5" xfId="0" applyNumberFormat="1" applyFont="1" applyFill="1" applyBorder="1" applyAlignment="1">
      <alignment vertical="top" wrapText="1"/>
    </xf>
    <xf numFmtId="165" fontId="7" fillId="0" borderId="5" xfId="0" applyNumberFormat="1" applyFont="1" applyFill="1" applyBorder="1" applyAlignment="1">
      <alignment vertical="top" wrapText="1"/>
    </xf>
    <xf numFmtId="0" fontId="8" fillId="5" borderId="5" xfId="0" applyNumberFormat="1" applyFont="1" applyFill="1" applyBorder="1" applyAlignment="1">
      <alignment vertical="top" wrapText="1"/>
    </xf>
    <xf numFmtId="164" fontId="9" fillId="2" borderId="5" xfId="0" applyNumberFormat="1" applyFont="1" applyFill="1" applyBorder="1" applyAlignment="1">
      <alignment vertical="top"/>
    </xf>
    <xf numFmtId="0" fontId="5" fillId="0" borderId="6"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4" fillId="3" borderId="15" xfId="0" applyNumberFormat="1" applyFont="1" applyFill="1" applyBorder="1" applyAlignment="1">
      <alignment horizontal="center" vertical="center" wrapText="1"/>
    </xf>
    <xf numFmtId="0" fontId="4" fillId="3" borderId="16" xfId="0" applyNumberFormat="1" applyFont="1" applyFill="1" applyBorder="1" applyAlignment="1">
      <alignment horizontal="center" vertical="center" wrapText="1"/>
    </xf>
    <xf numFmtId="164" fontId="1" fillId="0" borderId="6" xfId="0" applyNumberFormat="1" applyFont="1" applyFill="1" applyBorder="1" applyAlignment="1">
      <alignment horizontal="center" vertical="center"/>
    </xf>
    <xf numFmtId="164" fontId="1" fillId="0" borderId="0" xfId="0" applyNumberFormat="1" applyFont="1" applyFill="1" applyBorder="1" applyAlignment="1">
      <alignment horizontal="center" vertical="center"/>
    </xf>
    <xf numFmtId="164" fontId="5" fillId="0" borderId="6" xfId="0" applyNumberFormat="1" applyFont="1" applyFill="1" applyBorder="1" applyAlignment="1">
      <alignment horizontal="center" vertical="center"/>
    </xf>
    <xf numFmtId="164" fontId="5" fillId="0" borderId="0" xfId="0" applyNumberFormat="1" applyFont="1" applyFill="1" applyBorder="1" applyAlignment="1">
      <alignment horizontal="center" vertical="center"/>
    </xf>
    <xf numFmtId="1" fontId="5" fillId="0" borderId="6" xfId="0" applyNumberFormat="1" applyFont="1" applyFill="1" applyBorder="1" applyAlignment="1">
      <alignment horizontal="center" vertical="center"/>
    </xf>
    <xf numFmtId="1" fontId="5" fillId="0" borderId="0" xfId="0" applyNumberFormat="1" applyFont="1" applyFill="1" applyBorder="1" applyAlignment="1">
      <alignment horizontal="center" vertical="center"/>
    </xf>
    <xf numFmtId="0" fontId="1" fillId="5" borderId="0" xfId="0" applyNumberFormat="1" applyFont="1" applyFill="1" applyBorder="1" applyAlignment="1">
      <alignment horizontal="left" wrapText="1"/>
    </xf>
    <xf numFmtId="0" fontId="1" fillId="4" borderId="15" xfId="0" applyNumberFormat="1" applyFont="1" applyFill="1" applyBorder="1" applyAlignment="1">
      <alignment horizontal="left" wrapText="1"/>
    </xf>
    <xf numFmtId="0" fontId="1" fillId="4" borderId="16" xfId="0" applyNumberFormat="1" applyFont="1" applyFill="1" applyBorder="1" applyAlignment="1">
      <alignment horizontal="left" wrapText="1"/>
    </xf>
    <xf numFmtId="0" fontId="1" fillId="4" borderId="6" xfId="0" applyNumberFormat="1" applyFont="1" applyFill="1" applyBorder="1" applyAlignment="1">
      <alignment horizontal="left" wrapText="1"/>
    </xf>
    <xf numFmtId="0" fontId="1" fillId="4" borderId="0" xfId="0" applyNumberFormat="1" applyFont="1" applyFill="1" applyBorder="1" applyAlignment="1">
      <alignment horizontal="left" wrapText="1"/>
    </xf>
    <xf numFmtId="0" fontId="1" fillId="0" borderId="9" xfId="0" applyNumberFormat="1" applyFont="1" applyFill="1" applyBorder="1" applyAlignment="1">
      <alignment horizontal="left" vertical="top" wrapText="1"/>
    </xf>
    <xf numFmtId="0" fontId="1" fillId="0" borderId="13" xfId="0" applyNumberFormat="1" applyFont="1" applyFill="1" applyBorder="1" applyAlignment="1">
      <alignment horizontal="left" vertical="top" wrapText="1"/>
    </xf>
    <xf numFmtId="0" fontId="1" fillId="0" borderId="10" xfId="0" applyNumberFormat="1" applyFont="1" applyFill="1" applyBorder="1" applyAlignment="1">
      <alignment horizontal="left" vertical="top" wrapText="1"/>
    </xf>
    <xf numFmtId="0" fontId="1" fillId="0" borderId="11" xfId="0" applyNumberFormat="1" applyFont="1" applyFill="1" applyBorder="1" applyAlignment="1">
      <alignment horizontal="left" vertical="top" wrapText="1"/>
    </xf>
    <xf numFmtId="0" fontId="1" fillId="0" borderId="14" xfId="0" applyNumberFormat="1" applyFont="1" applyFill="1" applyBorder="1" applyAlignment="1">
      <alignment horizontal="left" vertical="top" wrapText="1"/>
    </xf>
    <xf numFmtId="0" fontId="1" fillId="0" borderId="12" xfId="0" applyNumberFormat="1" applyFont="1" applyFill="1" applyBorder="1" applyAlignment="1">
      <alignment horizontal="left" vertical="top" wrapText="1"/>
    </xf>
  </cellXfs>
  <cellStyles count="1">
    <cellStyle name="Normal" xfId="0" builtinId="0"/>
  </cellStyles>
  <dxfs count="9">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H80"/>
  <sheetViews>
    <sheetView showGridLines="0" topLeftCell="A3" zoomScaleNormal="100" workbookViewId="0">
      <selection activeCell="B16" sqref="B16:E16"/>
    </sheetView>
  </sheetViews>
  <sheetFormatPr defaultRowHeight="13.5"/>
  <cols>
    <col min="2" max="2" width="37.8125" customWidth="1"/>
    <col min="3" max="3" width="14.75" customWidth="1"/>
    <col min="4" max="4" width="10.4375" bestFit="1" customWidth="1"/>
    <col min="5" max="5" width="29.5625" bestFit="1" customWidth="1"/>
  </cols>
  <sheetData>
    <row r="1" spans="1:8">
      <c r="A1" s="1"/>
      <c r="B1" s="1"/>
      <c r="C1" s="1"/>
      <c r="D1" s="1"/>
      <c r="E1" s="1"/>
      <c r="F1" s="1"/>
      <c r="G1" s="1"/>
      <c r="H1" s="1"/>
    </row>
    <row r="2" spans="1:8" ht="18.75">
      <c r="A2" s="1"/>
      <c r="B2" s="2" t="s">
        <v>0</v>
      </c>
      <c r="C2" s="1"/>
      <c r="D2" s="1"/>
      <c r="E2" s="1"/>
      <c r="F2" s="1"/>
      <c r="G2" s="1"/>
      <c r="H2" s="1"/>
    </row>
    <row r="3" spans="1:8">
      <c r="A3" s="1"/>
      <c r="B3" s="3" t="s">
        <v>1</v>
      </c>
      <c r="C3" s="1"/>
      <c r="D3" s="1"/>
      <c r="E3" s="1"/>
      <c r="F3" s="1"/>
      <c r="G3" s="1"/>
      <c r="H3" s="1"/>
    </row>
    <row r="4" spans="1:8" ht="13.9" thickBot="1">
      <c r="A4" s="1"/>
      <c r="B4" s="4"/>
      <c r="C4" s="4"/>
      <c r="D4" s="4"/>
      <c r="E4" s="4"/>
      <c r="F4" s="1"/>
      <c r="G4" s="1"/>
      <c r="H4" s="1"/>
    </row>
    <row r="5" spans="1:8">
      <c r="A5" s="1"/>
      <c r="B5" s="1"/>
      <c r="C5" s="1"/>
      <c r="D5" s="1"/>
      <c r="E5" s="1"/>
      <c r="F5" s="1"/>
      <c r="G5" s="1"/>
      <c r="H5" s="1"/>
    </row>
    <row r="6" spans="1:8" ht="13.9">
      <c r="A6" s="1"/>
      <c r="B6" s="5" t="s">
        <v>2</v>
      </c>
      <c r="C6" s="6"/>
      <c r="D6" s="7"/>
      <c r="E6" s="1"/>
      <c r="F6" s="1"/>
      <c r="G6" s="1"/>
      <c r="H6" s="1"/>
    </row>
    <row r="7" spans="1:8">
      <c r="A7" s="1"/>
      <c r="B7" s="9" t="s">
        <v>3</v>
      </c>
      <c r="C7" s="33" t="s">
        <v>4</v>
      </c>
      <c r="D7" s="34"/>
      <c r="E7" s="1"/>
      <c r="F7" s="1"/>
      <c r="G7" s="1"/>
      <c r="H7" s="1"/>
    </row>
    <row r="8" spans="1:8">
      <c r="A8" s="1"/>
      <c r="B8" s="10" t="s">
        <v>5</v>
      </c>
      <c r="C8" s="35">
        <v>97.4</v>
      </c>
      <c r="D8" s="36"/>
      <c r="E8" s="1"/>
      <c r="F8" s="1"/>
      <c r="G8" s="1"/>
      <c r="H8" s="1"/>
    </row>
    <row r="9" spans="1:8">
      <c r="A9" s="1"/>
      <c r="B9" s="10" t="s">
        <v>6</v>
      </c>
      <c r="C9" s="37">
        <f>'Scoring Kredit'!G29</f>
        <v>79.999999999999986</v>
      </c>
      <c r="D9" s="38"/>
      <c r="E9" s="1"/>
      <c r="F9" s="1"/>
      <c r="G9" s="1"/>
      <c r="H9" s="1"/>
    </row>
    <row r="10" spans="1:8">
      <c r="A10" s="1"/>
      <c r="B10" s="10" t="s">
        <v>7</v>
      </c>
      <c r="C10" s="39">
        <f>COUNTIF('Scoring Kredit'!I6:I28,"FAIL")</f>
        <v>0</v>
      </c>
      <c r="D10" s="40"/>
      <c r="E10" s="1"/>
      <c r="F10" s="1"/>
      <c r="G10" s="1"/>
      <c r="H10" s="1"/>
    </row>
    <row r="11" spans="1:8" ht="39.4" customHeight="1">
      <c r="A11" s="1"/>
      <c r="B11" s="10" t="s">
        <v>8</v>
      </c>
      <c r="C11" s="31" t="str">
        <f>IF(C10&gt;0,"TUNDA - CRITICAL GATE BELUM TERPENUHI",IF(C9&gt;=80,"LAYAK DIREKOMENDASIKAN",IF(C9&gt;=70,"DIPERTIMBANGKAN KOMITE","TIDAK DIREKOMENDASIKAN")))</f>
        <v>LAYAK DIREKOMENDASIKAN</v>
      </c>
      <c r="D11" s="32"/>
      <c r="E11" s="32"/>
      <c r="F11" s="1"/>
      <c r="G11" s="1"/>
      <c r="H11" s="1"/>
    </row>
    <row r="12" spans="1:8">
      <c r="A12" s="1"/>
      <c r="B12" s="1"/>
      <c r="C12" s="1"/>
      <c r="D12" s="1"/>
      <c r="E12" s="1"/>
      <c r="F12" s="1"/>
      <c r="G12" s="1"/>
      <c r="H12" s="1"/>
    </row>
    <row r="13" spans="1:8">
      <c r="A13" s="1"/>
      <c r="B13" s="1"/>
      <c r="C13" s="1"/>
      <c r="D13" s="1"/>
      <c r="E13" s="1"/>
      <c r="F13" s="1"/>
      <c r="G13" s="1"/>
      <c r="H13" s="1"/>
    </row>
    <row r="14" spans="1:8" ht="13.9">
      <c r="A14" s="1"/>
      <c r="B14" s="5" t="s">
        <v>9</v>
      </c>
      <c r="C14" s="6"/>
      <c r="D14" s="6"/>
      <c r="E14" s="6"/>
      <c r="F14" s="1"/>
      <c r="G14" s="1"/>
      <c r="H14" s="1"/>
    </row>
    <row r="15" spans="1:8" ht="38.25" customHeight="1">
      <c r="A15" s="1"/>
      <c r="B15" s="42" t="s">
        <v>10</v>
      </c>
      <c r="C15" s="43"/>
      <c r="D15" s="43"/>
      <c r="E15" s="43"/>
      <c r="F15" s="1"/>
      <c r="G15" s="1"/>
      <c r="H15" s="1"/>
    </row>
    <row r="16" spans="1:8" ht="39.85" customHeight="1">
      <c r="A16" s="1"/>
      <c r="B16" s="44" t="s">
        <v>11</v>
      </c>
      <c r="C16" s="45"/>
      <c r="D16" s="45"/>
      <c r="E16" s="45"/>
      <c r="F16" s="1"/>
      <c r="G16" s="1"/>
      <c r="H16" s="1"/>
    </row>
    <row r="17" spans="1:8">
      <c r="A17" s="1"/>
      <c r="B17" s="44" t="s">
        <v>12</v>
      </c>
      <c r="C17" s="45"/>
      <c r="D17" s="45"/>
      <c r="E17" s="45"/>
      <c r="F17" s="1"/>
      <c r="G17" s="1"/>
      <c r="H17" s="1"/>
    </row>
    <row r="18" spans="1:8">
      <c r="A18" s="1"/>
      <c r="B18" s="11"/>
      <c r="C18" s="12"/>
      <c r="D18" s="12"/>
      <c r="E18" s="12"/>
      <c r="F18" s="1"/>
      <c r="G18" s="1"/>
      <c r="H18" s="1"/>
    </row>
    <row r="19" spans="1:8">
      <c r="A19" s="1"/>
      <c r="B19" s="1"/>
      <c r="C19" s="1"/>
      <c r="D19" s="1"/>
      <c r="E19" s="1"/>
      <c r="F19" s="1"/>
      <c r="G19" s="1"/>
      <c r="H19" s="1"/>
    </row>
    <row r="20" spans="1:8">
      <c r="A20" s="1"/>
      <c r="B20" s="1"/>
      <c r="C20" s="1"/>
      <c r="D20" s="1"/>
      <c r="E20" s="1"/>
      <c r="F20" s="1"/>
      <c r="G20" s="1"/>
      <c r="H20" s="1"/>
    </row>
    <row r="21" spans="1:8" ht="13.9">
      <c r="A21" s="1"/>
      <c r="B21" s="5" t="s">
        <v>13</v>
      </c>
      <c r="C21" s="6"/>
      <c r="D21" s="6"/>
      <c r="E21" s="7"/>
      <c r="F21" s="1"/>
      <c r="G21" s="1"/>
      <c r="H21" s="1"/>
    </row>
    <row r="22" spans="1:8">
      <c r="A22" s="1"/>
      <c r="B22" s="9" t="s">
        <v>14</v>
      </c>
      <c r="C22" s="9" t="s">
        <v>15</v>
      </c>
      <c r="D22" s="9" t="s">
        <v>16</v>
      </c>
      <c r="E22" s="9" t="s">
        <v>17</v>
      </c>
      <c r="F22" s="1"/>
      <c r="G22" s="1"/>
      <c r="H22" s="1"/>
    </row>
    <row r="23" spans="1:8">
      <c r="A23" s="1"/>
      <c r="B23" s="13" t="s">
        <v>18</v>
      </c>
      <c r="C23" s="13" t="str">
        <f>'Scoring Kredit'!I15</f>
        <v>PASS</v>
      </c>
      <c r="D23" s="13" t="s">
        <v>19</v>
      </c>
      <c r="E23" s="13" t="s">
        <v>20</v>
      </c>
      <c r="F23" s="1"/>
      <c r="G23" s="1"/>
      <c r="H23" s="1"/>
    </row>
    <row r="24" spans="1:8">
      <c r="A24" s="1"/>
      <c r="B24" s="13" t="s">
        <v>21</v>
      </c>
      <c r="C24" s="13" t="str">
        <f>'Scoring Kredit'!I16</f>
        <v>PASS</v>
      </c>
      <c r="D24" s="13" t="s">
        <v>19</v>
      </c>
      <c r="E24" s="13" t="s">
        <v>22</v>
      </c>
      <c r="F24" s="1"/>
      <c r="G24" s="1"/>
      <c r="H24" s="1"/>
    </row>
    <row r="25" spans="1:8">
      <c r="A25" s="1"/>
      <c r="B25" s="13" t="s">
        <v>23</v>
      </c>
      <c r="C25" s="13" t="str">
        <f>'Scoring Kredit'!I17</f>
        <v>PASS</v>
      </c>
      <c r="D25" s="13" t="s">
        <v>19</v>
      </c>
      <c r="E25" s="13" t="s">
        <v>24</v>
      </c>
      <c r="F25" s="1"/>
      <c r="G25" s="1"/>
      <c r="H25" s="1"/>
    </row>
    <row r="26" spans="1:8">
      <c r="A26" s="1"/>
      <c r="B26" s="13" t="s">
        <v>25</v>
      </c>
      <c r="C26" s="13" t="str">
        <f>'Scoring Kredit'!I18</f>
        <v>PASS</v>
      </c>
      <c r="D26" s="13" t="s">
        <v>19</v>
      </c>
      <c r="E26" s="13" t="s">
        <v>26</v>
      </c>
      <c r="F26" s="1"/>
      <c r="G26" s="1"/>
      <c r="H26" s="1"/>
    </row>
    <row r="27" spans="1:8">
      <c r="A27" s="1"/>
      <c r="B27" s="13" t="s">
        <v>27</v>
      </c>
      <c r="C27" s="13" t="str">
        <f>'Scoring Kredit'!I19</f>
        <v>PASS</v>
      </c>
      <c r="D27" s="13" t="s">
        <v>19</v>
      </c>
      <c r="E27" s="13" t="s">
        <v>28</v>
      </c>
      <c r="F27" s="1"/>
      <c r="G27" s="1"/>
      <c r="H27" s="1"/>
    </row>
    <row r="28" spans="1:8">
      <c r="A28" s="1"/>
      <c r="B28" s="13" t="s">
        <v>29</v>
      </c>
      <c r="C28" s="13" t="str">
        <f>'Scoring Kredit'!I21</f>
        <v>PASS</v>
      </c>
      <c r="D28" s="13" t="s">
        <v>19</v>
      </c>
      <c r="E28" s="13" t="s">
        <v>30</v>
      </c>
      <c r="F28" s="1"/>
      <c r="G28" s="1"/>
      <c r="H28" s="1"/>
    </row>
    <row r="29" spans="1:8">
      <c r="A29" s="1"/>
      <c r="B29" s="13" t="s">
        <v>31</v>
      </c>
      <c r="C29" s="13" t="str">
        <f>'Scoring Kredit'!I24</f>
        <v>PASS</v>
      </c>
      <c r="D29" s="13" t="s">
        <v>19</v>
      </c>
      <c r="E29" s="13" t="s">
        <v>32</v>
      </c>
      <c r="F29" s="1"/>
      <c r="G29" s="1"/>
      <c r="H29" s="1"/>
    </row>
    <row r="30" spans="1:8">
      <c r="A30" s="1"/>
      <c r="B30" s="1"/>
      <c r="C30" s="1"/>
      <c r="D30" s="1"/>
      <c r="E30" s="1"/>
      <c r="F30" s="1"/>
      <c r="G30" s="1"/>
      <c r="H30" s="1"/>
    </row>
    <row r="31" spans="1:8">
      <c r="A31" s="1"/>
      <c r="B31" s="1"/>
      <c r="C31" s="1"/>
      <c r="D31" s="1"/>
      <c r="E31" s="1"/>
      <c r="F31" s="1"/>
      <c r="G31" s="1"/>
      <c r="H31" s="1"/>
    </row>
    <row r="32" spans="1:8" ht="13.9">
      <c r="A32" s="1"/>
      <c r="B32" s="8" t="s">
        <v>33</v>
      </c>
      <c r="C32" s="8"/>
      <c r="D32" s="8"/>
      <c r="E32" s="8"/>
      <c r="F32" s="1"/>
      <c r="G32" s="1"/>
      <c r="H32" s="1"/>
    </row>
    <row r="33" spans="1:8" ht="38.25" customHeight="1">
      <c r="A33" s="1"/>
      <c r="B33" s="41"/>
      <c r="C33" s="41"/>
      <c r="D33" s="41"/>
      <c r="E33" s="41"/>
      <c r="F33" s="1"/>
      <c r="G33" s="1"/>
      <c r="H33" s="1"/>
    </row>
    <row r="34" spans="1:8" ht="38.25" customHeight="1">
      <c r="A34" s="1"/>
      <c r="B34" s="41"/>
      <c r="C34" s="41"/>
      <c r="D34" s="41"/>
      <c r="E34" s="4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sheetData>
  <mergeCells count="10">
    <mergeCell ref="B33:E33"/>
    <mergeCell ref="B34:E34"/>
    <mergeCell ref="B15:E15"/>
    <mergeCell ref="B16:E16"/>
    <mergeCell ref="B17:E17"/>
    <mergeCell ref="C11:E11"/>
    <mergeCell ref="C7:D7"/>
    <mergeCell ref="C8:D8"/>
    <mergeCell ref="C9:D9"/>
    <mergeCell ref="C10:D10"/>
  </mergeCells>
  <conditionalFormatting sqref="C11">
    <cfRule type="containsText" dxfId="8" priority="1" operator="containsText" text="TUNDA"/>
    <cfRule type="containsText" dxfId="7" priority="2" operator="containsText" text="LAYAK"/>
    <cfRule type="containsText" dxfId="6" priority="3" operator="containsText" text="TIDAK"/>
  </conditionalFormatting>
  <conditionalFormatting sqref="C23:C29">
    <cfRule type="containsText" dxfId="5" priority="4" operator="containsText" text="FAIL"/>
    <cfRule type="containsText" dxfId="4" priority="5" operator="containsText" text="PASS"/>
  </conditionalFormatting>
  <printOptions horizontalCentered="1"/>
  <pageMargins left="0.31496062992125984" right="0.19685039370078741" top="0.74803149606299213" bottom="0.74803149606299213" header="0.31496062992125984" footer="0.31496062992125984"/>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K80"/>
  <sheetViews>
    <sheetView showGridLines="0" tabSelected="1" zoomScaleNormal="100" workbookViewId="0">
      <pane ySplit="5" topLeftCell="A6" activePane="bottomLeft" state="frozen"/>
      <selection pane="bottomLeft" activeCell="E6" sqref="E6"/>
    </sheetView>
  </sheetViews>
  <sheetFormatPr defaultRowHeight="13.5"/>
  <cols>
    <col min="2" max="2" width="14.9375" customWidth="1"/>
    <col min="3" max="3" width="20.8125" customWidth="1"/>
    <col min="4" max="4" width="5.6875" bestFit="1" customWidth="1"/>
    <col min="5" max="5" width="7.5" bestFit="1" customWidth="1"/>
    <col min="6" max="6" width="31.625" customWidth="1"/>
    <col min="7" max="9" width="7.0625" customWidth="1"/>
  </cols>
  <sheetData>
    <row r="1" spans="1:11">
      <c r="A1" s="1"/>
      <c r="B1" s="1"/>
      <c r="C1" s="1"/>
      <c r="D1" s="1"/>
      <c r="E1" s="1"/>
      <c r="F1" s="1"/>
      <c r="G1" s="1"/>
      <c r="H1" s="1"/>
      <c r="I1" s="1"/>
      <c r="J1" s="1"/>
      <c r="K1" s="1"/>
    </row>
    <row r="2" spans="1:11" ht="18.75">
      <c r="A2" s="1"/>
      <c r="B2" s="2" t="s">
        <v>34</v>
      </c>
      <c r="C2" s="1"/>
      <c r="D2" s="1"/>
      <c r="E2" s="1"/>
      <c r="F2" s="1"/>
      <c r="G2" s="1"/>
      <c r="H2" s="1"/>
      <c r="I2" s="1"/>
      <c r="J2" s="1"/>
      <c r="K2" s="1"/>
    </row>
    <row r="3" spans="1:11">
      <c r="A3" s="1"/>
      <c r="B3" s="3" t="s">
        <v>35</v>
      </c>
      <c r="C3" s="1"/>
      <c r="D3" s="1"/>
      <c r="E3" s="1"/>
      <c r="F3" s="1"/>
      <c r="G3" s="1"/>
      <c r="H3" s="1"/>
      <c r="I3" s="1"/>
      <c r="J3" s="1"/>
      <c r="K3" s="1"/>
    </row>
    <row r="4" spans="1:11">
      <c r="A4" s="1"/>
      <c r="B4" s="1"/>
      <c r="C4" s="1"/>
      <c r="D4" s="1"/>
      <c r="E4" s="1"/>
      <c r="F4" s="1"/>
      <c r="G4" s="1"/>
      <c r="H4" s="1"/>
      <c r="I4" s="1"/>
      <c r="J4" s="1"/>
      <c r="K4" s="1"/>
    </row>
    <row r="5" spans="1:11" ht="39.4">
      <c r="A5" s="1"/>
      <c r="B5" s="9" t="s">
        <v>36</v>
      </c>
      <c r="C5" s="9" t="s">
        <v>37</v>
      </c>
      <c r="D5" s="9" t="s">
        <v>38</v>
      </c>
      <c r="E5" s="9" t="s">
        <v>39</v>
      </c>
      <c r="F5" s="9" t="s">
        <v>40</v>
      </c>
      <c r="G5" s="9" t="s">
        <v>41</v>
      </c>
      <c r="H5" s="9" t="s">
        <v>42</v>
      </c>
      <c r="I5" s="9" t="s">
        <v>43</v>
      </c>
      <c r="J5" s="1"/>
      <c r="K5" s="1"/>
    </row>
    <row r="6" spans="1:11" ht="25.5">
      <c r="A6" s="1"/>
      <c r="B6" s="14" t="s">
        <v>44</v>
      </c>
      <c r="C6" s="14" t="s">
        <v>45</v>
      </c>
      <c r="D6" s="15">
        <v>3</v>
      </c>
      <c r="E6" s="16">
        <v>3</v>
      </c>
      <c r="F6" s="14" t="s">
        <v>46</v>
      </c>
      <c r="G6" s="17">
        <f t="shared" ref="G6:G28" si="0">D6*E6/5</f>
        <v>1.8</v>
      </c>
      <c r="H6" s="14" t="s">
        <v>47</v>
      </c>
      <c r="I6" s="18" t="str">
        <f t="shared" ref="I6:I28" si="1">IF(H6="Ya",IF(E6&gt;=3,"PASS","FAIL"),"-")</f>
        <v>-</v>
      </c>
      <c r="J6" s="1"/>
      <c r="K6" s="1"/>
    </row>
    <row r="7" spans="1:11" ht="25.5">
      <c r="A7" s="1"/>
      <c r="B7" s="14" t="s">
        <v>44</v>
      </c>
      <c r="C7" s="14" t="s">
        <v>48</v>
      </c>
      <c r="D7" s="15">
        <v>5</v>
      </c>
      <c r="E7" s="16">
        <v>5</v>
      </c>
      <c r="F7" s="14" t="s">
        <v>49</v>
      </c>
      <c r="G7" s="17">
        <f t="shared" si="0"/>
        <v>5</v>
      </c>
      <c r="H7" s="14" t="s">
        <v>47</v>
      </c>
      <c r="I7" s="18" t="str">
        <f t="shared" si="1"/>
        <v>-</v>
      </c>
      <c r="J7" s="1"/>
      <c r="K7" s="1"/>
    </row>
    <row r="8" spans="1:11" ht="25.5">
      <c r="A8" s="1"/>
      <c r="B8" s="14" t="s">
        <v>44</v>
      </c>
      <c r="C8" s="14" t="s">
        <v>50</v>
      </c>
      <c r="D8" s="15">
        <v>4</v>
      </c>
      <c r="E8" s="16">
        <v>2</v>
      </c>
      <c r="F8" s="14" t="s">
        <v>51</v>
      </c>
      <c r="G8" s="17">
        <f t="shared" si="0"/>
        <v>1.6</v>
      </c>
      <c r="H8" s="14" t="s">
        <v>47</v>
      </c>
      <c r="I8" s="18" t="str">
        <f t="shared" si="1"/>
        <v>-</v>
      </c>
      <c r="J8" s="1"/>
      <c r="K8" s="1"/>
    </row>
    <row r="9" spans="1:11" ht="25.5">
      <c r="A9" s="1"/>
      <c r="B9" s="14" t="s">
        <v>44</v>
      </c>
      <c r="C9" s="14" t="s">
        <v>52</v>
      </c>
      <c r="D9" s="15">
        <v>3</v>
      </c>
      <c r="E9" s="16">
        <v>1</v>
      </c>
      <c r="F9" s="14" t="s">
        <v>53</v>
      </c>
      <c r="G9" s="17">
        <f t="shared" si="0"/>
        <v>0.6</v>
      </c>
      <c r="H9" s="14" t="s">
        <v>47</v>
      </c>
      <c r="I9" s="18" t="str">
        <f t="shared" si="1"/>
        <v>-</v>
      </c>
      <c r="J9" s="1"/>
      <c r="K9" s="1"/>
    </row>
    <row r="10" spans="1:11" ht="25.5">
      <c r="A10" s="1"/>
      <c r="B10" s="14" t="s">
        <v>54</v>
      </c>
      <c r="C10" s="14" t="s">
        <v>55</v>
      </c>
      <c r="D10" s="15">
        <v>4</v>
      </c>
      <c r="E10" s="16">
        <v>4</v>
      </c>
      <c r="F10" s="14" t="s">
        <v>56</v>
      </c>
      <c r="G10" s="17">
        <f t="shared" si="0"/>
        <v>3.2</v>
      </c>
      <c r="H10" s="14" t="s">
        <v>47</v>
      </c>
      <c r="I10" s="18" t="str">
        <f t="shared" si="1"/>
        <v>-</v>
      </c>
      <c r="J10" s="1"/>
      <c r="K10" s="1"/>
    </row>
    <row r="11" spans="1:11">
      <c r="A11" s="1"/>
      <c r="B11" s="14" t="s">
        <v>54</v>
      </c>
      <c r="C11" s="14" t="s">
        <v>57</v>
      </c>
      <c r="D11" s="15">
        <v>4</v>
      </c>
      <c r="E11" s="16">
        <v>4</v>
      </c>
      <c r="F11" s="14" t="s">
        <v>58</v>
      </c>
      <c r="G11" s="17">
        <f t="shared" si="0"/>
        <v>3.2</v>
      </c>
      <c r="H11" s="14" t="s">
        <v>47</v>
      </c>
      <c r="I11" s="18" t="str">
        <f t="shared" si="1"/>
        <v>-</v>
      </c>
      <c r="J11" s="1"/>
      <c r="K11" s="1"/>
    </row>
    <row r="12" spans="1:11" ht="25.5">
      <c r="A12" s="1"/>
      <c r="B12" s="14" t="s">
        <v>54</v>
      </c>
      <c r="C12" s="14" t="s">
        <v>59</v>
      </c>
      <c r="D12" s="15">
        <v>4</v>
      </c>
      <c r="E12" s="16">
        <v>3</v>
      </c>
      <c r="F12" s="14" t="s">
        <v>60</v>
      </c>
      <c r="G12" s="17">
        <f t="shared" si="0"/>
        <v>2.4</v>
      </c>
      <c r="H12" s="14" t="s">
        <v>47</v>
      </c>
      <c r="I12" s="18" t="str">
        <f t="shared" si="1"/>
        <v>-</v>
      </c>
      <c r="J12" s="1"/>
      <c r="K12" s="1"/>
    </row>
    <row r="13" spans="1:11" ht="25.5">
      <c r="A13" s="1"/>
      <c r="B13" s="14" t="s">
        <v>54</v>
      </c>
      <c r="C13" s="14" t="s">
        <v>61</v>
      </c>
      <c r="D13" s="15">
        <v>5</v>
      </c>
      <c r="E13" s="16">
        <v>2</v>
      </c>
      <c r="F13" s="14" t="s">
        <v>62</v>
      </c>
      <c r="G13" s="17">
        <f t="shared" si="0"/>
        <v>2</v>
      </c>
      <c r="H13" s="14" t="s">
        <v>47</v>
      </c>
      <c r="I13" s="18" t="str">
        <f t="shared" si="1"/>
        <v>-</v>
      </c>
      <c r="J13" s="1"/>
      <c r="K13" s="1"/>
    </row>
    <row r="14" spans="1:11" ht="25.5">
      <c r="A14" s="1"/>
      <c r="B14" s="14" t="s">
        <v>54</v>
      </c>
      <c r="C14" s="14" t="s">
        <v>63</v>
      </c>
      <c r="D14" s="15">
        <v>3</v>
      </c>
      <c r="E14" s="16">
        <v>4</v>
      </c>
      <c r="F14" s="14" t="s">
        <v>64</v>
      </c>
      <c r="G14" s="17">
        <f t="shared" si="0"/>
        <v>2.4</v>
      </c>
      <c r="H14" s="14" t="s">
        <v>47</v>
      </c>
      <c r="I14" s="18" t="str">
        <f t="shared" si="1"/>
        <v>-</v>
      </c>
      <c r="J14" s="1"/>
      <c r="K14" s="1"/>
    </row>
    <row r="15" spans="1:11" ht="25.5">
      <c r="A15" s="1"/>
      <c r="B15" s="14" t="s">
        <v>65</v>
      </c>
      <c r="C15" s="14" t="s">
        <v>18</v>
      </c>
      <c r="D15" s="15">
        <v>5</v>
      </c>
      <c r="E15" s="19">
        <f>IF('RC Keluarga'!C19="Ya",5,0)</f>
        <v>5</v>
      </c>
      <c r="F15" s="14" t="s">
        <v>66</v>
      </c>
      <c r="G15" s="17">
        <f t="shared" si="0"/>
        <v>5</v>
      </c>
      <c r="H15" s="14" t="s">
        <v>67</v>
      </c>
      <c r="I15" s="18" t="str">
        <f t="shared" si="1"/>
        <v>PASS</v>
      </c>
      <c r="J15" s="1"/>
      <c r="K15" s="1"/>
    </row>
    <row r="16" spans="1:11" ht="25.5">
      <c r="A16" s="1"/>
      <c r="B16" s="14" t="s">
        <v>65</v>
      </c>
      <c r="C16" s="14" t="s">
        <v>21</v>
      </c>
      <c r="D16" s="15">
        <v>8</v>
      </c>
      <c r="E16" s="19">
        <f>IF('RC Keluarga'!C20="Ya",5,0)</f>
        <v>5</v>
      </c>
      <c r="F16" s="14" t="s">
        <v>66</v>
      </c>
      <c r="G16" s="17">
        <f t="shared" si="0"/>
        <v>8</v>
      </c>
      <c r="H16" s="14" t="s">
        <v>67</v>
      </c>
      <c r="I16" s="18" t="str">
        <f t="shared" si="1"/>
        <v>PASS</v>
      </c>
      <c r="J16" s="1"/>
      <c r="K16" s="1"/>
    </row>
    <row r="17" spans="1:11" ht="25.5">
      <c r="A17" s="1"/>
      <c r="B17" s="14" t="s">
        <v>65</v>
      </c>
      <c r="C17" s="14" t="s">
        <v>68</v>
      </c>
      <c r="D17" s="15">
        <v>6</v>
      </c>
      <c r="E17" s="19">
        <f>IF('RC Keluarga'!C21="Ya",5,0)</f>
        <v>5</v>
      </c>
      <c r="F17" s="14" t="s">
        <v>66</v>
      </c>
      <c r="G17" s="17">
        <f t="shared" si="0"/>
        <v>6</v>
      </c>
      <c r="H17" s="14" t="s">
        <v>67</v>
      </c>
      <c r="I17" s="18" t="str">
        <f t="shared" si="1"/>
        <v>PASS</v>
      </c>
      <c r="J17" s="1"/>
      <c r="K17" s="1"/>
    </row>
    <row r="18" spans="1:11">
      <c r="A18" s="1"/>
      <c r="B18" s="14" t="s">
        <v>65</v>
      </c>
      <c r="C18" s="14" t="s">
        <v>69</v>
      </c>
      <c r="D18" s="15">
        <v>8</v>
      </c>
      <c r="E18" s="19">
        <f>IF('RC Keluarga'!C11="",0,IF('RC Keluarga'!C11&lt;=35%,5,IF('RC Keluarga'!C11&lt;=40%,4,IF('RC Keluarga'!C11&lt;=45%,3,IF('RC Keluarga'!C11&lt;=50%,2,1)))))</f>
        <v>5</v>
      </c>
      <c r="F18" s="14" t="s">
        <v>70</v>
      </c>
      <c r="G18" s="17">
        <f t="shared" si="0"/>
        <v>8</v>
      </c>
      <c r="H18" s="14" t="s">
        <v>67</v>
      </c>
      <c r="I18" s="18" t="str">
        <f t="shared" si="1"/>
        <v>PASS</v>
      </c>
      <c r="J18" s="1"/>
      <c r="K18" s="1"/>
    </row>
    <row r="19" spans="1:11" ht="25.5">
      <c r="A19" s="1"/>
      <c r="B19" s="14" t="s">
        <v>65</v>
      </c>
      <c r="C19" s="14" t="s">
        <v>71</v>
      </c>
      <c r="D19" s="15">
        <v>8</v>
      </c>
      <c r="E19" s="19">
        <f>IF('RC Keluarga'!C15="",0,IF('RC Keluarga'!C15&lt;=0,1,IF('RC Keluarga'!C15/'RC Keluarga'!C13&gt;=20%,5,IF('RC Keluarga'!C15/'RC Keluarga'!C13&gt;=10%,4,3))))</f>
        <v>5</v>
      </c>
      <c r="F19" s="14" t="s">
        <v>72</v>
      </c>
      <c r="G19" s="17">
        <f t="shared" si="0"/>
        <v>8</v>
      </c>
      <c r="H19" s="14" t="s">
        <v>67</v>
      </c>
      <c r="I19" s="18" t="str">
        <f t="shared" si="1"/>
        <v>PASS</v>
      </c>
      <c r="J19" s="1"/>
      <c r="K19" s="1"/>
    </row>
    <row r="20" spans="1:11" ht="25.5">
      <c r="A20" s="1"/>
      <c r="B20" s="14" t="s">
        <v>73</v>
      </c>
      <c r="C20" s="14" t="s">
        <v>74</v>
      </c>
      <c r="D20" s="15">
        <v>5</v>
      </c>
      <c r="E20" s="16">
        <v>5</v>
      </c>
      <c r="F20" s="14" t="s">
        <v>75</v>
      </c>
      <c r="G20" s="17">
        <f t="shared" si="0"/>
        <v>5</v>
      </c>
      <c r="H20" s="14" t="s">
        <v>47</v>
      </c>
      <c r="I20" s="18" t="str">
        <f t="shared" si="1"/>
        <v>-</v>
      </c>
      <c r="J20" s="1"/>
      <c r="K20" s="1"/>
    </row>
    <row r="21" spans="1:11" ht="25.5">
      <c r="A21" s="1"/>
      <c r="B21" s="14" t="s">
        <v>73</v>
      </c>
      <c r="C21" s="14" t="s">
        <v>76</v>
      </c>
      <c r="D21" s="15">
        <v>4</v>
      </c>
      <c r="E21" s="19">
        <f>IF('RC Keluarga'!C23="Ya",5,0)</f>
        <v>5</v>
      </c>
      <c r="F21" s="14" t="s">
        <v>66</v>
      </c>
      <c r="G21" s="17">
        <f t="shared" si="0"/>
        <v>4</v>
      </c>
      <c r="H21" s="14" t="s">
        <v>67</v>
      </c>
      <c r="I21" s="18" t="str">
        <f t="shared" si="1"/>
        <v>PASS</v>
      </c>
      <c r="J21" s="1"/>
      <c r="K21" s="1"/>
    </row>
    <row r="22" spans="1:11" ht="25.5">
      <c r="A22" s="1"/>
      <c r="B22" s="14" t="s">
        <v>73</v>
      </c>
      <c r="C22" s="14" t="s">
        <v>77</v>
      </c>
      <c r="D22" s="15">
        <v>3</v>
      </c>
      <c r="E22" s="19">
        <f>IF('RC Keluarga'!C24="Ya",5,0)</f>
        <v>5</v>
      </c>
      <c r="F22" s="14" t="s">
        <v>66</v>
      </c>
      <c r="G22" s="17">
        <f t="shared" si="0"/>
        <v>3</v>
      </c>
      <c r="H22" s="14" t="s">
        <v>47</v>
      </c>
      <c r="I22" s="18" t="str">
        <f t="shared" si="1"/>
        <v>-</v>
      </c>
      <c r="J22" s="1"/>
      <c r="K22" s="1"/>
    </row>
    <row r="23" spans="1:11" ht="25.5">
      <c r="A23" s="1"/>
      <c r="B23" s="14" t="s">
        <v>73</v>
      </c>
      <c r="C23" s="14" t="s">
        <v>78</v>
      </c>
      <c r="D23" s="15">
        <v>3</v>
      </c>
      <c r="E23" s="16">
        <v>2</v>
      </c>
      <c r="F23" s="14" t="s">
        <v>79</v>
      </c>
      <c r="G23" s="17">
        <f t="shared" si="0"/>
        <v>1.2</v>
      </c>
      <c r="H23" s="14" t="s">
        <v>47</v>
      </c>
      <c r="I23" s="18" t="str">
        <f t="shared" si="1"/>
        <v>-</v>
      </c>
      <c r="J23" s="1"/>
      <c r="K23" s="1"/>
    </row>
    <row r="24" spans="1:11" ht="38.25">
      <c r="A24" s="1"/>
      <c r="B24" s="14" t="s">
        <v>80</v>
      </c>
      <c r="C24" s="14" t="s">
        <v>81</v>
      </c>
      <c r="D24" s="15">
        <v>5</v>
      </c>
      <c r="E24" s="19">
        <f>IF('RC Keluarga'!C22="Ya",5,0)</f>
        <v>5</v>
      </c>
      <c r="F24" s="14" t="s">
        <v>66</v>
      </c>
      <c r="G24" s="17">
        <f t="shared" si="0"/>
        <v>5</v>
      </c>
      <c r="H24" s="14" t="s">
        <v>67</v>
      </c>
      <c r="I24" s="18" t="str">
        <f t="shared" si="1"/>
        <v>PASS</v>
      </c>
      <c r="J24" s="1"/>
      <c r="K24" s="1"/>
    </row>
    <row r="25" spans="1:11" ht="25.5">
      <c r="A25" s="1"/>
      <c r="B25" s="14" t="s">
        <v>80</v>
      </c>
      <c r="C25" s="14" t="s">
        <v>82</v>
      </c>
      <c r="D25" s="15">
        <v>3</v>
      </c>
      <c r="E25" s="16">
        <v>0</v>
      </c>
      <c r="F25" s="14" t="s">
        <v>83</v>
      </c>
      <c r="G25" s="17">
        <f t="shared" si="0"/>
        <v>0</v>
      </c>
      <c r="H25" s="14" t="s">
        <v>47</v>
      </c>
      <c r="I25" s="18" t="str">
        <f t="shared" si="1"/>
        <v>-</v>
      </c>
      <c r="J25" s="1"/>
      <c r="K25" s="1"/>
    </row>
    <row r="26" spans="1:11">
      <c r="A26" s="1"/>
      <c r="B26" s="14" t="s">
        <v>80</v>
      </c>
      <c r="C26" s="14" t="s">
        <v>84</v>
      </c>
      <c r="D26" s="15">
        <v>3</v>
      </c>
      <c r="E26" s="19">
        <f>IF('RC Keluarga'!C25="Ya",5,0)</f>
        <v>5</v>
      </c>
      <c r="F26" s="14" t="s">
        <v>66</v>
      </c>
      <c r="G26" s="17">
        <f t="shared" si="0"/>
        <v>3</v>
      </c>
      <c r="H26" s="14" t="s">
        <v>47</v>
      </c>
      <c r="I26" s="18" t="str">
        <f t="shared" si="1"/>
        <v>-</v>
      </c>
      <c r="J26" s="1"/>
      <c r="K26" s="1"/>
    </row>
    <row r="27" spans="1:11" ht="25.5">
      <c r="A27" s="1"/>
      <c r="B27" s="14" t="s">
        <v>80</v>
      </c>
      <c r="C27" s="14" t="s">
        <v>85</v>
      </c>
      <c r="D27" s="15">
        <v>2</v>
      </c>
      <c r="E27" s="16">
        <v>2</v>
      </c>
      <c r="F27" s="14" t="s">
        <v>86</v>
      </c>
      <c r="G27" s="17">
        <f t="shared" si="0"/>
        <v>0.8</v>
      </c>
      <c r="H27" s="14" t="s">
        <v>47</v>
      </c>
      <c r="I27" s="18" t="str">
        <f t="shared" si="1"/>
        <v>-</v>
      </c>
      <c r="J27" s="1"/>
      <c r="K27" s="1"/>
    </row>
    <row r="28" spans="1:11" ht="25.5">
      <c r="A28" s="1"/>
      <c r="B28" s="14" t="s">
        <v>80</v>
      </c>
      <c r="C28" s="14" t="s">
        <v>87</v>
      </c>
      <c r="D28" s="15">
        <v>2</v>
      </c>
      <c r="E28" s="16">
        <v>2</v>
      </c>
      <c r="F28" s="14" t="s">
        <v>88</v>
      </c>
      <c r="G28" s="17">
        <f t="shared" si="0"/>
        <v>0.8</v>
      </c>
      <c r="H28" s="14" t="s">
        <v>47</v>
      </c>
      <c r="I28" s="18" t="str">
        <f t="shared" si="1"/>
        <v>-</v>
      </c>
      <c r="J28" s="1"/>
      <c r="K28" s="1"/>
    </row>
    <row r="29" spans="1:11">
      <c r="A29" s="1"/>
      <c r="B29" s="20" t="s">
        <v>89</v>
      </c>
      <c r="C29" s="20"/>
      <c r="D29" s="21">
        <f>SUM(D6:D28)</f>
        <v>100</v>
      </c>
      <c r="E29" s="20"/>
      <c r="F29" s="20"/>
      <c r="G29" s="30">
        <f>SUM(G6:G28)</f>
        <v>79.999999999999986</v>
      </c>
      <c r="H29" s="20"/>
      <c r="I29" s="20"/>
      <c r="J29" s="1"/>
      <c r="K29" s="1"/>
    </row>
    <row r="30" spans="1:11">
      <c r="A30" s="1"/>
      <c r="B30" s="22"/>
      <c r="C30" s="22"/>
      <c r="D30" s="22"/>
      <c r="E30" s="22"/>
      <c r="F30" s="22"/>
      <c r="G30" s="22"/>
      <c r="H30" s="22"/>
      <c r="I30" s="22"/>
      <c r="J30" s="1"/>
      <c r="K30" s="1"/>
    </row>
    <row r="31" spans="1:11">
      <c r="A31" s="1"/>
      <c r="B31" s="22"/>
      <c r="C31" s="22"/>
      <c r="D31" s="22"/>
      <c r="E31" s="22"/>
      <c r="F31" s="22"/>
      <c r="G31" s="22"/>
      <c r="H31" s="22"/>
      <c r="I31" s="22"/>
      <c r="J31" s="1"/>
      <c r="K31" s="1"/>
    </row>
    <row r="32" spans="1:11">
      <c r="A32" s="1"/>
      <c r="B32" s="23" t="s">
        <v>90</v>
      </c>
      <c r="C32" s="24"/>
      <c r="D32" s="24"/>
      <c r="E32" s="24"/>
      <c r="F32" s="24"/>
      <c r="G32" s="24"/>
      <c r="H32" s="24"/>
      <c r="I32" s="25"/>
      <c r="J32" s="1"/>
      <c r="K32" s="1"/>
    </row>
    <row r="33" spans="1:11" ht="19.25" customHeight="1">
      <c r="A33" s="1"/>
      <c r="B33" s="14" t="s">
        <v>91</v>
      </c>
      <c r="C33" s="46" t="s">
        <v>92</v>
      </c>
      <c r="D33" s="47"/>
      <c r="E33" s="47"/>
      <c r="F33" s="47"/>
      <c r="G33" s="47"/>
      <c r="H33" s="47"/>
      <c r="I33" s="48"/>
      <c r="J33" s="1"/>
      <c r="K33" s="1"/>
    </row>
    <row r="34" spans="1:11" ht="19.25" customHeight="1">
      <c r="A34" s="1"/>
      <c r="B34" s="14" t="s">
        <v>93</v>
      </c>
      <c r="C34" s="49" t="s">
        <v>94</v>
      </c>
      <c r="D34" s="50"/>
      <c r="E34" s="50"/>
      <c r="F34" s="50"/>
      <c r="G34" s="50"/>
      <c r="H34" s="50"/>
      <c r="I34" s="51"/>
      <c r="J34" s="1"/>
      <c r="K34" s="1"/>
    </row>
    <row r="35" spans="1:11" ht="19.25" customHeight="1">
      <c r="A35" s="1"/>
      <c r="B35" s="14" t="s">
        <v>95</v>
      </c>
      <c r="C35" s="49" t="s">
        <v>96</v>
      </c>
      <c r="D35" s="50"/>
      <c r="E35" s="50"/>
      <c r="F35" s="50"/>
      <c r="G35" s="50"/>
      <c r="H35" s="50"/>
      <c r="I35" s="51"/>
      <c r="J35" s="1"/>
      <c r="K35" s="1"/>
    </row>
    <row r="36" spans="1:11" ht="19.25" customHeight="1">
      <c r="A36" s="1"/>
      <c r="B36" s="14" t="s">
        <v>97</v>
      </c>
      <c r="C36" s="49" t="s">
        <v>98</v>
      </c>
      <c r="D36" s="50"/>
      <c r="E36" s="50"/>
      <c r="F36" s="50"/>
      <c r="G36" s="50"/>
      <c r="H36" s="50"/>
      <c r="I36" s="5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sheetData>
  <mergeCells count="4">
    <mergeCell ref="C33:I33"/>
    <mergeCell ref="C34:I34"/>
    <mergeCell ref="C35:I35"/>
    <mergeCell ref="C36:I36"/>
  </mergeCells>
  <conditionalFormatting sqref="I6:I28">
    <cfRule type="containsText" dxfId="3" priority="1" operator="containsText" text="FAIL"/>
    <cfRule type="containsText" dxfId="2" priority="2" operator="containsText" text="PASS"/>
  </conditionalFormatting>
  <dataValidations count="1">
    <dataValidation type="whole" sqref="E6:E28" xr:uid="{00000000-0002-0000-0100-000000000000}">
      <formula1>0</formula1>
      <formula2>5</formula2>
    </dataValidation>
  </dataValidations>
  <printOptions horizontalCentered="1"/>
  <pageMargins left="0.31496062992125984" right="0.11811023622047245" top="0.74803149606299213" bottom="0.74803149606299213" header="0.31496062992125984" footer="0.31496062992125984"/>
  <pageSetup paperSize="9" scale="8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K80"/>
  <sheetViews>
    <sheetView showGridLines="0" zoomScale="110" zoomScaleNormal="110" workbookViewId="0">
      <pane ySplit="6" topLeftCell="A7" activePane="bottomLeft" state="frozen"/>
      <selection pane="bottomLeft" activeCell="B7" sqref="B7"/>
    </sheetView>
  </sheetViews>
  <sheetFormatPr defaultRowHeight="13.5"/>
  <cols>
    <col min="2" max="2" width="27.4375" customWidth="1"/>
    <col min="3" max="3" width="10.375" customWidth="1"/>
    <col min="4" max="4" width="13.875" bestFit="1" customWidth="1"/>
    <col min="5" max="5" width="42.6875" customWidth="1"/>
  </cols>
  <sheetData>
    <row r="1" spans="1:11">
      <c r="A1" s="1"/>
      <c r="B1" s="1"/>
      <c r="C1" s="1"/>
      <c r="D1" s="1"/>
      <c r="E1" s="1"/>
      <c r="F1" s="1"/>
      <c r="G1" s="1"/>
      <c r="H1" s="1"/>
      <c r="I1" s="1"/>
      <c r="J1" s="1"/>
      <c r="K1" s="1"/>
    </row>
    <row r="2" spans="1:11" ht="18.75">
      <c r="A2" s="1"/>
      <c r="B2" s="2" t="s">
        <v>99</v>
      </c>
      <c r="C2" s="1"/>
      <c r="D2" s="1"/>
      <c r="E2" s="1"/>
      <c r="F2" s="1"/>
      <c r="G2" s="1"/>
      <c r="H2" s="1"/>
      <c r="I2" s="1"/>
      <c r="J2" s="1"/>
      <c r="K2" s="1"/>
    </row>
    <row r="3" spans="1:11">
      <c r="A3" s="1"/>
      <c r="B3" s="3" t="s">
        <v>100</v>
      </c>
      <c r="C3" s="1"/>
      <c r="D3" s="1"/>
      <c r="E3" s="1"/>
      <c r="F3" s="1"/>
      <c r="G3" s="1"/>
      <c r="H3" s="1"/>
      <c r="I3" s="1"/>
      <c r="J3" s="1"/>
      <c r="K3" s="1"/>
    </row>
    <row r="4" spans="1:11">
      <c r="A4" s="1"/>
      <c r="B4" s="1"/>
      <c r="C4" s="1"/>
      <c r="D4" s="1"/>
      <c r="E4" s="1"/>
      <c r="F4" s="1"/>
      <c r="G4" s="1"/>
      <c r="H4" s="1"/>
      <c r="I4" s="1"/>
      <c r="J4" s="1"/>
      <c r="K4" s="1"/>
    </row>
    <row r="5" spans="1:11" ht="13.9">
      <c r="A5" s="1"/>
      <c r="B5" s="5" t="s">
        <v>101</v>
      </c>
      <c r="C5" s="6"/>
      <c r="D5" s="6"/>
      <c r="E5" s="7"/>
      <c r="F5" s="1"/>
      <c r="G5" s="1"/>
      <c r="H5" s="1"/>
      <c r="I5" s="1"/>
      <c r="J5" s="1"/>
      <c r="K5" s="1"/>
    </row>
    <row r="6" spans="1:11" ht="26.25">
      <c r="A6" s="1"/>
      <c r="B6" s="9" t="s">
        <v>102</v>
      </c>
      <c r="C6" s="9" t="s">
        <v>103</v>
      </c>
      <c r="D6" s="9" t="s">
        <v>104</v>
      </c>
      <c r="E6" s="9" t="s">
        <v>105</v>
      </c>
      <c r="F6" s="1"/>
      <c r="G6" s="1"/>
      <c r="H6" s="1"/>
      <c r="I6" s="1"/>
      <c r="J6" s="1"/>
      <c r="K6" s="1"/>
    </row>
    <row r="7" spans="1:11" ht="25.5">
      <c r="A7" s="1"/>
      <c r="B7" s="14" t="s">
        <v>21</v>
      </c>
      <c r="C7" s="26">
        <v>9000000</v>
      </c>
      <c r="D7" s="14" t="s">
        <v>106</v>
      </c>
      <c r="E7" s="14" t="s">
        <v>107</v>
      </c>
      <c r="F7" s="1"/>
      <c r="G7" s="1"/>
      <c r="H7" s="1"/>
      <c r="I7" s="1"/>
      <c r="J7" s="1"/>
      <c r="K7" s="1"/>
    </row>
    <row r="8" spans="1:11">
      <c r="A8" s="1"/>
      <c r="B8" s="14" t="s">
        <v>108</v>
      </c>
      <c r="C8" s="26">
        <v>1000000</v>
      </c>
      <c r="D8" s="14" t="s">
        <v>106</v>
      </c>
      <c r="E8" s="14" t="s">
        <v>109</v>
      </c>
      <c r="F8" s="1"/>
      <c r="G8" s="1"/>
      <c r="H8" s="1"/>
      <c r="I8" s="1"/>
      <c r="J8" s="1"/>
      <c r="K8" s="1"/>
    </row>
    <row r="9" spans="1:11">
      <c r="A9" s="1"/>
      <c r="B9" s="14" t="s">
        <v>110</v>
      </c>
      <c r="C9" s="26"/>
      <c r="D9" s="14" t="s">
        <v>106</v>
      </c>
      <c r="E9" s="14" t="s">
        <v>111</v>
      </c>
      <c r="F9" s="1"/>
      <c r="G9" s="1"/>
      <c r="H9" s="1"/>
      <c r="I9" s="1"/>
      <c r="J9" s="1"/>
      <c r="K9" s="1"/>
    </row>
    <row r="10" spans="1:11">
      <c r="A10" s="1"/>
      <c r="B10" s="14" t="s">
        <v>112</v>
      </c>
      <c r="C10" s="26"/>
      <c r="D10" s="14" t="s">
        <v>113</v>
      </c>
      <c r="E10" s="14" t="s">
        <v>114</v>
      </c>
      <c r="F10" s="1"/>
      <c r="G10" s="1"/>
      <c r="H10" s="1"/>
      <c r="I10" s="1"/>
      <c r="J10" s="1"/>
      <c r="K10" s="1"/>
    </row>
    <row r="11" spans="1:11">
      <c r="A11" s="1"/>
      <c r="B11" s="14" t="s">
        <v>69</v>
      </c>
      <c r="C11" s="27">
        <f>IF(C7="","",(C9+C10)/C7)</f>
        <v>0</v>
      </c>
      <c r="D11" s="14" t="s">
        <v>115</v>
      </c>
      <c r="E11" s="14" t="s">
        <v>116</v>
      </c>
      <c r="F11" s="1"/>
      <c r="G11" s="1"/>
      <c r="H11" s="1"/>
      <c r="I11" s="1"/>
      <c r="J11" s="1"/>
      <c r="K11" s="1"/>
    </row>
    <row r="12" spans="1:11">
      <c r="A12" s="1"/>
      <c r="B12" s="14" t="s">
        <v>117</v>
      </c>
      <c r="C12" s="28">
        <f>IF(C7="","",C7-C8-C9-C10)</f>
        <v>8000000</v>
      </c>
      <c r="D12" s="14" t="s">
        <v>115</v>
      </c>
      <c r="E12" s="14" t="s">
        <v>118</v>
      </c>
      <c r="F12" s="1"/>
      <c r="G12" s="1"/>
      <c r="H12" s="1"/>
      <c r="I12" s="1"/>
      <c r="J12" s="1"/>
      <c r="K12" s="1"/>
    </row>
    <row r="13" spans="1:11">
      <c r="A13" s="1"/>
      <c r="B13" s="14" t="s">
        <v>119</v>
      </c>
      <c r="C13" s="28">
        <f>IF(C7="","",C7*70%)</f>
        <v>6300000</v>
      </c>
      <c r="D13" s="14" t="s">
        <v>115</v>
      </c>
      <c r="E13" s="14" t="s">
        <v>120</v>
      </c>
      <c r="F13" s="1"/>
      <c r="G13" s="1"/>
      <c r="H13" s="1"/>
      <c r="I13" s="1"/>
      <c r="J13" s="1"/>
      <c r="K13" s="1"/>
    </row>
    <row r="14" spans="1:11">
      <c r="A14" s="1"/>
      <c r="B14" s="14" t="s">
        <v>121</v>
      </c>
      <c r="C14" s="28">
        <f>IF(C8="","",C8*110%)</f>
        <v>1100000</v>
      </c>
      <c r="D14" s="14" t="s">
        <v>115</v>
      </c>
      <c r="E14" s="14" t="s">
        <v>120</v>
      </c>
      <c r="F14" s="1"/>
      <c r="G14" s="1"/>
      <c r="H14" s="1"/>
      <c r="I14" s="1"/>
      <c r="J14" s="1"/>
      <c r="K14" s="1"/>
    </row>
    <row r="15" spans="1:11">
      <c r="A15" s="1"/>
      <c r="B15" s="14" t="s">
        <v>122</v>
      </c>
      <c r="C15" s="28">
        <f>IF(OR(C13="",C14=""),"",C13-C14-C9-C10)</f>
        <v>5200000</v>
      </c>
      <c r="D15" s="14" t="s">
        <v>115</v>
      </c>
      <c r="E15" s="14" t="s">
        <v>123</v>
      </c>
      <c r="F15" s="1"/>
      <c r="G15" s="1"/>
      <c r="H15" s="1"/>
      <c r="I15" s="1"/>
      <c r="J15" s="1"/>
      <c r="K15" s="1"/>
    </row>
    <row r="16" spans="1:11">
      <c r="A16" s="1"/>
      <c r="B16" s="14" t="s">
        <v>124</v>
      </c>
      <c r="C16" s="27">
        <f>IF(C13="","",(C9+C10)/C13)</f>
        <v>0</v>
      </c>
      <c r="D16" s="14" t="s">
        <v>115</v>
      </c>
      <c r="E16" s="14" t="s">
        <v>125</v>
      </c>
      <c r="F16" s="1"/>
      <c r="G16" s="1"/>
      <c r="H16" s="1"/>
      <c r="I16" s="1"/>
      <c r="J16" s="1"/>
      <c r="K16" s="1"/>
    </row>
    <row r="17" spans="1:11">
      <c r="A17" s="1"/>
      <c r="B17" s="22"/>
      <c r="C17" s="22"/>
      <c r="D17" s="22"/>
      <c r="E17" s="22"/>
      <c r="F17" s="1"/>
      <c r="G17" s="1"/>
      <c r="H17" s="1"/>
      <c r="I17" s="1"/>
      <c r="J17" s="1"/>
      <c r="K17" s="1"/>
    </row>
    <row r="18" spans="1:11">
      <c r="A18" s="1"/>
      <c r="B18" s="23" t="s">
        <v>126</v>
      </c>
      <c r="C18" s="24"/>
      <c r="D18" s="24"/>
      <c r="E18" s="25"/>
      <c r="F18" s="1"/>
      <c r="G18" s="1"/>
      <c r="H18" s="1"/>
      <c r="I18" s="1"/>
      <c r="J18" s="1"/>
      <c r="K18" s="1"/>
    </row>
    <row r="19" spans="1:11" ht="25.5">
      <c r="A19" s="1"/>
      <c r="B19" s="14" t="s">
        <v>127</v>
      </c>
      <c r="C19" s="29" t="s">
        <v>67</v>
      </c>
      <c r="D19" s="14" t="s">
        <v>106</v>
      </c>
      <c r="E19" s="14" t="s">
        <v>128</v>
      </c>
      <c r="F19" s="1"/>
      <c r="G19" s="1"/>
      <c r="H19" s="1"/>
      <c r="I19" s="1"/>
      <c r="J19" s="1"/>
      <c r="K19" s="1"/>
    </row>
    <row r="20" spans="1:11">
      <c r="A20" s="1"/>
      <c r="B20" s="14" t="s">
        <v>129</v>
      </c>
      <c r="C20" s="29" t="s">
        <v>67</v>
      </c>
      <c r="D20" s="14" t="s">
        <v>106</v>
      </c>
      <c r="E20" s="14" t="s">
        <v>130</v>
      </c>
      <c r="F20" s="1"/>
      <c r="G20" s="1"/>
      <c r="H20" s="1"/>
      <c r="I20" s="1"/>
      <c r="J20" s="1"/>
      <c r="K20" s="1"/>
    </row>
    <row r="21" spans="1:11" ht="25.5">
      <c r="A21" s="1"/>
      <c r="B21" s="14" t="s">
        <v>131</v>
      </c>
      <c r="C21" s="29" t="s">
        <v>67</v>
      </c>
      <c r="D21" s="14" t="s">
        <v>106</v>
      </c>
      <c r="E21" s="14" t="s">
        <v>132</v>
      </c>
      <c r="F21" s="1"/>
      <c r="G21" s="1"/>
      <c r="H21" s="1"/>
      <c r="I21" s="1"/>
      <c r="J21" s="1"/>
      <c r="K21" s="1"/>
    </row>
    <row r="22" spans="1:11" ht="25.5">
      <c r="A22" s="1"/>
      <c r="B22" s="14" t="s">
        <v>133</v>
      </c>
      <c r="C22" s="29" t="s">
        <v>67</v>
      </c>
      <c r="D22" s="14" t="s">
        <v>106</v>
      </c>
      <c r="E22" s="14" t="s">
        <v>134</v>
      </c>
      <c r="F22" s="1"/>
      <c r="G22" s="1"/>
      <c r="H22" s="1"/>
      <c r="I22" s="1"/>
      <c r="J22" s="1"/>
      <c r="K22" s="1"/>
    </row>
    <row r="23" spans="1:11" ht="25.5">
      <c r="A23" s="1"/>
      <c r="B23" s="14" t="s">
        <v>135</v>
      </c>
      <c r="C23" s="29" t="s">
        <v>67</v>
      </c>
      <c r="D23" s="14" t="s">
        <v>106</v>
      </c>
      <c r="E23" s="14" t="s">
        <v>136</v>
      </c>
      <c r="F23" s="1"/>
      <c r="G23" s="1"/>
      <c r="H23" s="1"/>
      <c r="I23" s="1"/>
      <c r="J23" s="1"/>
      <c r="K23" s="1"/>
    </row>
    <row r="24" spans="1:11" ht="25.5">
      <c r="A24" s="1"/>
      <c r="B24" s="14" t="s">
        <v>146</v>
      </c>
      <c r="C24" s="29" t="s">
        <v>67</v>
      </c>
      <c r="D24" s="14" t="s">
        <v>106</v>
      </c>
      <c r="E24" s="14" t="s">
        <v>137</v>
      </c>
      <c r="F24" s="1"/>
      <c r="G24" s="1"/>
      <c r="H24" s="1"/>
      <c r="I24" s="1"/>
      <c r="J24" s="1"/>
      <c r="K24" s="1"/>
    </row>
    <row r="25" spans="1:11">
      <c r="A25" s="1"/>
      <c r="B25" s="14" t="s">
        <v>138</v>
      </c>
      <c r="C25" s="29" t="s">
        <v>67</v>
      </c>
      <c r="D25" s="14" t="s">
        <v>106</v>
      </c>
      <c r="E25" s="14" t="s">
        <v>147</v>
      </c>
      <c r="F25" s="1"/>
      <c r="G25" s="1"/>
      <c r="H25" s="1"/>
      <c r="I25" s="1"/>
      <c r="J25" s="1"/>
      <c r="K25" s="1"/>
    </row>
    <row r="26" spans="1:11">
      <c r="A26" s="1"/>
      <c r="B26" s="22"/>
      <c r="C26" s="22"/>
      <c r="D26" s="22"/>
      <c r="E26" s="22"/>
      <c r="F26" s="1"/>
      <c r="G26" s="1"/>
      <c r="H26" s="1"/>
      <c r="I26" s="1"/>
      <c r="J26" s="1"/>
      <c r="K26" s="1"/>
    </row>
    <row r="27" spans="1:11">
      <c r="A27" s="1"/>
      <c r="B27" s="22"/>
      <c r="C27" s="22"/>
      <c r="D27" s="22"/>
      <c r="E27" s="22"/>
      <c r="F27" s="1"/>
      <c r="G27" s="1"/>
      <c r="H27" s="1"/>
      <c r="I27" s="1"/>
      <c r="J27" s="1"/>
      <c r="K27" s="1"/>
    </row>
    <row r="28" spans="1:11">
      <c r="A28" s="1"/>
      <c r="B28" s="23" t="s">
        <v>139</v>
      </c>
      <c r="C28" s="24"/>
      <c r="D28" s="24"/>
      <c r="E28" s="25"/>
      <c r="F28" s="1"/>
      <c r="G28" s="1"/>
      <c r="H28" s="1"/>
      <c r="I28" s="1"/>
      <c r="J28" s="1"/>
      <c r="K28" s="1"/>
    </row>
    <row r="29" spans="1:11" ht="26.35" customHeight="1">
      <c r="A29" s="1"/>
      <c r="B29" s="14" t="s">
        <v>140</v>
      </c>
      <c r="C29" s="46" t="s">
        <v>141</v>
      </c>
      <c r="D29" s="47"/>
      <c r="E29" s="48"/>
      <c r="F29" s="1"/>
      <c r="G29" s="1"/>
      <c r="H29" s="1"/>
      <c r="I29" s="1"/>
      <c r="J29" s="1"/>
      <c r="K29" s="1"/>
    </row>
    <row r="30" spans="1:11" ht="26.35" customHeight="1">
      <c r="A30" s="1"/>
      <c r="B30" s="14" t="s">
        <v>142</v>
      </c>
      <c r="C30" s="49" t="s">
        <v>143</v>
      </c>
      <c r="D30" s="50"/>
      <c r="E30" s="51"/>
      <c r="F30" s="1"/>
      <c r="G30" s="1"/>
      <c r="H30" s="1"/>
      <c r="I30" s="1"/>
      <c r="J30" s="1"/>
      <c r="K30" s="1"/>
    </row>
    <row r="31" spans="1:11" ht="26.35" customHeight="1">
      <c r="A31" s="1"/>
      <c r="B31" s="14" t="s">
        <v>144</v>
      </c>
      <c r="C31" s="49" t="s">
        <v>145</v>
      </c>
      <c r="D31" s="50"/>
      <c r="E31" s="5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sheetData>
  <mergeCells count="3">
    <mergeCell ref="C29:E29"/>
    <mergeCell ref="C30:E30"/>
    <mergeCell ref="C31:E31"/>
  </mergeCells>
  <conditionalFormatting sqref="C19:C25">
    <cfRule type="containsText" dxfId="1" priority="1" operator="containsText" text="Tidak"/>
    <cfRule type="containsText" dxfId="0" priority="2" operator="containsText" text="Ya"/>
  </conditionalFormatting>
  <dataValidations count="1">
    <dataValidation type="list" sqref="C19:C25" xr:uid="{00000000-0002-0000-0200-000000000000}">
      <formula1>"Tidak,Ya"</formula1>
    </dataValidation>
  </dataValidations>
  <printOptions horizontalCentered="1"/>
  <pageMargins left="0.31496062992125984" right="0.19685039370078741" top="0.74803149606299213" bottom="0.74803149606299213" header="0.31496062992125984" footer="0.31496062992125984"/>
  <pageSetup paperSize="9" scale="9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Ringkasan</vt:lpstr>
      <vt:lpstr>Scoring Kredit</vt:lpstr>
      <vt:lpstr>RC Keluarga</vt:lpstr>
      <vt:lpstr>'RC Keluarga'!Print_Area</vt:lpstr>
      <vt:lpstr>Ringkasan!Print_Area</vt:lpstr>
      <vt:lpstr>'Scoring Kredit'!Print_Area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Direktur Utama</dc:creator>
  <cp:lastModifiedBy>BPR</cp:lastModifiedBy>
  <cp:lastPrinted>2026-10-09T01:26:06Z</cp:lastPrinted>
  <dcterms:created xsi:type="dcterms:W3CDTF">2026-10-09T03:07:02Z</dcterms:created>
  <dcterms:modified xsi:type="dcterms:W3CDTF">2026-10-09T06:39:29Z</dcterms:modified>
</cp:coreProperties>
</file>